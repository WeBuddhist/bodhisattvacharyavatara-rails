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d Results" sheetId="1" state="visible" r:id="rId3"/>
    <sheet name="Metr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<sst xmlns="http://schemas.openxmlformats.org/spreadsheetml/2006/main" count="227" uniqueCount="114">
  <si>
    <t xml:space="preserve">ID</t>
  </si>
  <si>
    <t xml:space="preserve">Verse ID</t>
  </si>
  <si>
    <t xml:space="preserve">Type</t>
  </si>
  <si>
    <t xml:space="preserve">Category</t>
  </si>
  <si>
    <t xml:space="preserve">Original (baseline)</t>
  </si>
  <si>
    <t xml:space="preserve">Injected error</t>
  </si>
  <si>
    <t xml:space="preserve">Expected verdict</t>
  </si>
  <si>
    <t xml:space="preserve">Skill's actual result</t>
  </si>
  <si>
    <t xml:space="preserve">Scored</t>
  </si>
  <si>
    <t xml:space="preserve">1-1</t>
  </si>
  <si>
    <t xml:space="preserve">injected</t>
  </si>
  <si>
    <t xml:space="preserve">kaya_dharma_mind</t>
  </si>
  <si>
    <t xml:space="preserve">the dharmakāya they possess</t>
  </si>
  <si>
    <t xml:space="preserve">the dharma they embody</t>
  </si>
  <si>
    <t xml:space="preserve">ERROR</t>
  </si>
  <si>
    <t xml:space="preserve">ERROR row logged</t>
  </si>
  <si>
    <t xml:space="preserve">TP - caught</t>
  </si>
  <si>
    <t xml:space="preserve">precise_term_softened</t>
  </si>
  <si>
    <t xml:space="preserve">the practice of the Bodhisattva discipline</t>
  </si>
  <si>
    <t xml:space="preserve">the practice of the Bodhisattva way of life</t>
  </si>
  <si>
    <t xml:space="preserve">1-6</t>
  </si>
  <si>
    <t xml:space="preserve">Virtue, thus, is weak</t>
  </si>
  <si>
    <t xml:space="preserve">Kindness, thus, is weak</t>
  </si>
  <si>
    <t xml:space="preserve">1-20</t>
  </si>
  <si>
    <t xml:space="preserve">for those inclined to lesser paths</t>
  </si>
  <si>
    <t xml:space="preserve">for those inclined to simpler paths</t>
  </si>
  <si>
    <t xml:space="preserve">named_entity</t>
  </si>
  <si>
    <t xml:space="preserve">the sūtra Subāhu requested</t>
  </si>
  <si>
    <t xml:space="preserve">the sūtra Sāriputra requested</t>
  </si>
  <si>
    <t xml:space="preserve">1-25</t>
  </si>
  <si>
    <t xml:space="preserve">this noble, jewellike state of mind</t>
  </si>
  <si>
    <t xml:space="preserve">this noble, jewellike form of buddha-body</t>
  </si>
  <si>
    <t xml:space="preserve">1-14</t>
  </si>
  <si>
    <t xml:space="preserve">explained to Sudhana</t>
  </si>
  <si>
    <t xml:space="preserve">explained to Maitreya</t>
  </si>
  <si>
    <t xml:space="preserve">1-23</t>
  </si>
  <si>
    <t xml:space="preserve">even Brahmā</t>
  </si>
  <si>
    <t xml:space="preserve">even Indra</t>
  </si>
  <si>
    <t xml:space="preserve">1-9</t>
  </si>
  <si>
    <t xml:space="preserve">number_scope</t>
  </si>
  <si>
    <t xml:space="preserve">in that instant</t>
  </si>
  <si>
    <t xml:space="preserve">within moments</t>
  </si>
  <si>
    <t xml:space="preserve">Not flagged</t>
  </si>
  <si>
    <t xml:space="preserve">FN - MISSED</t>
  </si>
  <si>
    <t xml:space="preserve">1-22</t>
  </si>
  <si>
    <t xml:space="preserve">each and every living being</t>
  </si>
  <si>
    <t xml:space="preserve">a few living beings</t>
  </si>
  <si>
    <t xml:space="preserve">1-33</t>
  </si>
  <si>
    <t xml:space="preserve">countless multitudes</t>
  </si>
  <si>
    <t xml:space="preserve">a handful of followers</t>
  </si>
  <si>
    <t xml:space="preserve">1-11</t>
  </si>
  <si>
    <t xml:space="preserve">the only guide of beings</t>
  </si>
  <si>
    <t xml:space="preserve">the many guides of beings</t>
  </si>
  <si>
    <t xml:space="preserve">1-7</t>
  </si>
  <si>
    <t xml:space="preserve">the mighty Sages saw its benefits</t>
  </si>
  <si>
    <t xml:space="preserve">the mighty King saw its benefits</t>
  </si>
  <si>
    <t xml:space="preserve">1-5</t>
  </si>
  <si>
    <t xml:space="preserve">simile_tenor</t>
  </si>
  <si>
    <t xml:space="preserve">all is clearly shown</t>
  </si>
  <si>
    <t xml:space="preserve">the whole sky is illuminated</t>
  </si>
  <si>
    <t xml:space="preserve">1-19</t>
  </si>
  <si>
    <t xml:space="preserve">the vastness of the sky</t>
  </si>
  <si>
    <t xml:space="preserve">the depths of the ocean</t>
  </si>
  <si>
    <t xml:space="preserve">1-10</t>
  </si>
  <si>
    <t xml:space="preserve">it takes our impure flesh</t>
  </si>
  <si>
    <t xml:space="preserve">it takes our confused perceptions</t>
  </si>
  <si>
    <t xml:space="preserve">1-29</t>
  </si>
  <si>
    <t xml:space="preserve">agent_role</t>
  </si>
  <si>
    <t xml:space="preserve">those who fill with bliss all beings destitute of joy</t>
  </si>
  <si>
    <t xml:space="preserve">those whom bliss fills, when destitute of joy</t>
  </si>
  <si>
    <t xml:space="preserve">1-28</t>
  </si>
  <si>
    <t xml:space="preserve">misery itself they follow and pursue</t>
  </si>
  <si>
    <t xml:space="preserve">misery itself pursues them</t>
  </si>
  <si>
    <t xml:space="preserve">1-30</t>
  </si>
  <si>
    <t xml:space="preserve">enumeration_order</t>
  </si>
  <si>
    <t xml:space="preserve">what virtue could be matched with theirs? What friend could be compared to them?</t>
  </si>
  <si>
    <t xml:space="preserve">what friend could be compared to them? What virtue could be matched with theirs?</t>
  </si>
  <si>
    <t xml:space="preserve">1-21</t>
  </si>
  <si>
    <t xml:space="preserve">wrong_referent_other</t>
  </si>
  <si>
    <t xml:space="preserve">the aching heads of other beings</t>
  </si>
  <si>
    <t xml:space="preserve">the aching hearts of other beings</t>
  </si>
  <si>
    <t xml:space="preserve">1-2</t>
  </si>
  <si>
    <t xml:space="preserve">control</t>
  </si>
  <si>
    <t xml:space="preserve">negative_control_unmodified</t>
  </si>
  <si>
    <t xml:space="preserve">(unmodified)</t>
  </si>
  <si>
    <t xml:space="preserve">CLEAN</t>
  </si>
  <si>
    <t xml:space="preserve">Not flagged (correctly clean)</t>
  </si>
  <si>
    <t xml:space="preserve">TN - correct</t>
  </si>
  <si>
    <t xml:space="preserve">1-4</t>
  </si>
  <si>
    <t xml:space="preserve">1-17</t>
  </si>
  <si>
    <t xml:space="preserve">1-27</t>
  </si>
  <si>
    <t xml:space="preserve">1-35</t>
  </si>
  <si>
    <t xml:space="preserve">commentary-fact-check — Detection Benchmark (Padmakara Ch.1 x BCAC19_KS_bo)</t>
  </si>
  <si>
    <t xml:space="preserve">Overall</t>
  </si>
  <si>
    <t xml:space="preserve">Total injected errors</t>
  </si>
  <si>
    <t xml:space="preserve">Detected (True Positives)</t>
  </si>
  <si>
    <t xml:space="preserve">Missed (False Negatives)</t>
  </si>
  <si>
    <t xml:space="preserve">Negative controls (unmodified verses)</t>
  </si>
  <si>
    <t xml:space="preserve">Controls correctly left clean (True Negatives)</t>
  </si>
  <si>
    <t xml:space="preserve">Recall (TP / total injected)</t>
  </si>
  <si>
    <t xml:space="preserve">Precision (of the 16 ERROR rows the skill wrote, matching an injected error)</t>
  </si>
  <si>
    <t xml:space="preserve">False-positive rate on untouched verses (5 formal controls + 13 incidentally-unmodified verses)</t>
  </si>
  <si>
    <t xml:space="preserve">0 of 18 untouched verses in ch.1 received a hard ERROR flag.</t>
  </si>
  <si>
    <t xml:space="preserve">Recall by error category</t>
  </si>
  <si>
    <t xml:space="preserve">Caught / Total</t>
  </si>
  <si>
    <t xml:space="preserve">Recall</t>
  </si>
  <si>
    <t xml:space="preserve">kāya / dharma / mind swaps</t>
  </si>
  <si>
    <t xml:space="preserve">precise term softened to vague synonym</t>
  </si>
  <si>
    <t xml:space="preserve">wrong named entity</t>
  </si>
  <si>
    <t xml:space="preserve">wrong number / scope</t>
  </si>
  <si>
    <t xml:space="preserve">wrong simile tenor</t>
  </si>
  <si>
    <t xml:space="preserve">wrong grammatical agent / role</t>
  </si>
  <si>
    <t xml:space="preserve">wrong enumeration order</t>
  </si>
  <si>
    <t xml:space="preserve">other wrong referent (body part)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</si>
</sst>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EFCE"/>
        <bgColor rgb="FFD9E1F2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9"/>
    <col collapsed="false" customWidth="true" hidden="false" outlineLevel="0" max="4" min="4" style="0" width="20"/>
    <col collapsed="false" customWidth="true" hidden="false" outlineLevel="0" max="6" min="5" style="0" width="34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customFormat="false" ht="15" hidden="false" customHeight="false" outlineLevel="0" collapsed="false">
      <c r="A3" s="2" t="n">
        <v>2</v>
      </c>
      <c r="B3" s="2" t="s">
        <v>9</v>
      </c>
      <c r="C3" s="2" t="s">
        <v>10</v>
      </c>
      <c r="D3" s="2" t="s">
        <v>17</v>
      </c>
      <c r="E3" s="2" t="s">
        <v>18</v>
      </c>
      <c r="F3" s="2" t="s">
        <v>19</v>
      </c>
      <c r="G3" s="2" t="s">
        <v>14</v>
      </c>
      <c r="H3" s="2" t="s">
        <v>15</v>
      </c>
      <c r="I3" s="2" t="s">
        <v>16</v>
      </c>
    </row>
    <row r="4" customFormat="false" ht="15" hidden="false" customHeight="false" outlineLevel="0" collapsed="false">
      <c r="A4" s="2" t="n">
        <v>3</v>
      </c>
      <c r="B4" s="2" t="s">
        <v>20</v>
      </c>
      <c r="C4" s="2" t="s">
        <v>10</v>
      </c>
      <c r="D4" s="2" t="s">
        <v>17</v>
      </c>
      <c r="E4" s="2" t="s">
        <v>21</v>
      </c>
      <c r="F4" s="2" t="s">
        <v>22</v>
      </c>
      <c r="G4" s="2" t="s">
        <v>14</v>
      </c>
      <c r="H4" s="2" t="s">
        <v>15</v>
      </c>
      <c r="I4" s="2" t="s">
        <v>16</v>
      </c>
    </row>
    <row r="5" customFormat="false" ht="15" hidden="false" customHeight="false" outlineLevel="0" collapsed="false">
      <c r="A5" s="2" t="n">
        <v>4</v>
      </c>
      <c r="B5" s="2" t="s">
        <v>23</v>
      </c>
      <c r="C5" s="2" t="s">
        <v>10</v>
      </c>
      <c r="D5" s="2" t="s">
        <v>17</v>
      </c>
      <c r="E5" s="2" t="s">
        <v>24</v>
      </c>
      <c r="F5" s="2" t="s">
        <v>25</v>
      </c>
      <c r="G5" s="2" t="s">
        <v>14</v>
      </c>
      <c r="H5" s="2" t="s">
        <v>15</v>
      </c>
      <c r="I5" s="2" t="s">
        <v>16</v>
      </c>
    </row>
    <row r="6" customFormat="false" ht="15" hidden="false" customHeight="false" outlineLevel="0" collapsed="false">
      <c r="A6" s="2" t="n">
        <v>5</v>
      </c>
      <c r="B6" s="2" t="s">
        <v>23</v>
      </c>
      <c r="C6" s="2" t="s">
        <v>10</v>
      </c>
      <c r="D6" s="2" t="s">
        <v>26</v>
      </c>
      <c r="E6" s="2" t="s">
        <v>27</v>
      </c>
      <c r="F6" s="2" t="s">
        <v>28</v>
      </c>
      <c r="G6" s="2" t="s">
        <v>14</v>
      </c>
      <c r="H6" s="2" t="s">
        <v>15</v>
      </c>
      <c r="I6" s="2" t="s">
        <v>16</v>
      </c>
    </row>
    <row r="7" customFormat="false" ht="15" hidden="false" customHeight="false" outlineLevel="0" collapsed="false">
      <c r="A7" s="2" t="n">
        <v>6</v>
      </c>
      <c r="B7" s="2" t="s">
        <v>29</v>
      </c>
      <c r="C7" s="2" t="s">
        <v>10</v>
      </c>
      <c r="D7" s="2" t="s">
        <v>11</v>
      </c>
      <c r="E7" s="2" t="s">
        <v>30</v>
      </c>
      <c r="F7" s="2" t="s">
        <v>31</v>
      </c>
      <c r="G7" s="2" t="s">
        <v>14</v>
      </c>
      <c r="H7" s="2" t="s">
        <v>15</v>
      </c>
      <c r="I7" s="2" t="s">
        <v>16</v>
      </c>
    </row>
    <row r="8" customFormat="false" ht="15" hidden="false" customHeight="false" outlineLevel="0" collapsed="false">
      <c r="A8" s="2" t="n">
        <v>7</v>
      </c>
      <c r="B8" s="2" t="s">
        <v>32</v>
      </c>
      <c r="C8" s="2" t="s">
        <v>10</v>
      </c>
      <c r="D8" s="2" t="s">
        <v>26</v>
      </c>
      <c r="E8" s="2" t="s">
        <v>33</v>
      </c>
      <c r="F8" s="2" t="s">
        <v>34</v>
      </c>
      <c r="G8" s="2" t="s">
        <v>14</v>
      </c>
      <c r="H8" s="2" t="s">
        <v>15</v>
      </c>
      <c r="I8" s="2" t="s">
        <v>16</v>
      </c>
    </row>
    <row r="9" customFormat="false" ht="15" hidden="false" customHeight="false" outlineLevel="0" collapsed="false">
      <c r="A9" s="2" t="n">
        <v>8</v>
      </c>
      <c r="B9" s="2" t="s">
        <v>35</v>
      </c>
      <c r="C9" s="2" t="s">
        <v>10</v>
      </c>
      <c r="D9" s="2" t="s">
        <v>26</v>
      </c>
      <c r="E9" s="2" t="s">
        <v>36</v>
      </c>
      <c r="F9" s="2" t="s">
        <v>37</v>
      </c>
      <c r="G9" s="2" t="s">
        <v>14</v>
      </c>
      <c r="H9" s="2" t="s">
        <v>15</v>
      </c>
      <c r="I9" s="2" t="s">
        <v>16</v>
      </c>
    </row>
    <row r="10" customFormat="false" ht="15" hidden="false" customHeight="false" outlineLevel="0" collapsed="false">
      <c r="A10" s="3" t="n">
        <v>9</v>
      </c>
      <c r="B10" s="3" t="s">
        <v>38</v>
      </c>
      <c r="C10" s="3" t="s">
        <v>10</v>
      </c>
      <c r="D10" s="3" t="s">
        <v>39</v>
      </c>
      <c r="E10" s="3" t="s">
        <v>40</v>
      </c>
      <c r="F10" s="3" t="s">
        <v>41</v>
      </c>
      <c r="G10" s="3" t="s">
        <v>14</v>
      </c>
      <c r="H10" s="3" t="s">
        <v>42</v>
      </c>
      <c r="I10" s="3" t="s">
        <v>43</v>
      </c>
    </row>
    <row r="11" customFormat="false" ht="15" hidden="false" customHeight="false" outlineLevel="0" collapsed="false">
      <c r="A11" s="2" t="n">
        <v>10</v>
      </c>
      <c r="B11" s="2" t="s">
        <v>44</v>
      </c>
      <c r="C11" s="2" t="s">
        <v>10</v>
      </c>
      <c r="D11" s="2" t="s">
        <v>39</v>
      </c>
      <c r="E11" s="2" t="s">
        <v>45</v>
      </c>
      <c r="F11" s="2" t="s">
        <v>46</v>
      </c>
      <c r="G11" s="2" t="s">
        <v>14</v>
      </c>
      <c r="H11" s="2" t="s">
        <v>15</v>
      </c>
      <c r="I11" s="2" t="s">
        <v>16</v>
      </c>
    </row>
    <row r="12" customFormat="false" ht="15" hidden="false" customHeight="false" outlineLevel="0" collapsed="false">
      <c r="A12" s="2" t="n">
        <v>11</v>
      </c>
      <c r="B12" s="2" t="s">
        <v>47</v>
      </c>
      <c r="C12" s="2" t="s">
        <v>10</v>
      </c>
      <c r="D12" s="2" t="s">
        <v>39</v>
      </c>
      <c r="E12" s="2" t="s">
        <v>48</v>
      </c>
      <c r="F12" s="2" t="s">
        <v>49</v>
      </c>
      <c r="G12" s="2" t="s">
        <v>14</v>
      </c>
      <c r="H12" s="2" t="s">
        <v>15</v>
      </c>
      <c r="I12" s="2" t="s">
        <v>16</v>
      </c>
    </row>
    <row r="13" customFormat="false" ht="15" hidden="false" customHeight="false" outlineLevel="0" collapsed="false">
      <c r="A13" s="3" t="n">
        <v>12</v>
      </c>
      <c r="B13" s="3" t="s">
        <v>50</v>
      </c>
      <c r="C13" s="3" t="s">
        <v>10</v>
      </c>
      <c r="D13" s="3" t="s">
        <v>39</v>
      </c>
      <c r="E13" s="3" t="s">
        <v>51</v>
      </c>
      <c r="F13" s="3" t="s">
        <v>52</v>
      </c>
      <c r="G13" s="3" t="s">
        <v>14</v>
      </c>
      <c r="H13" s="3" t="s">
        <v>42</v>
      </c>
      <c r="I13" s="3" t="s">
        <v>43</v>
      </c>
    </row>
    <row r="14" customFormat="false" ht="15" hidden="false" customHeight="false" outlineLevel="0" collapsed="false">
      <c r="A14" s="2" t="n">
        <v>13</v>
      </c>
      <c r="B14" s="2" t="s">
        <v>53</v>
      </c>
      <c r="C14" s="2" t="s">
        <v>10</v>
      </c>
      <c r="D14" s="2" t="s">
        <v>39</v>
      </c>
      <c r="E14" s="2" t="s">
        <v>54</v>
      </c>
      <c r="F14" s="2" t="s">
        <v>55</v>
      </c>
      <c r="G14" s="2" t="s">
        <v>14</v>
      </c>
      <c r="H14" s="2" t="s">
        <v>15</v>
      </c>
      <c r="I14" s="2" t="s">
        <v>16</v>
      </c>
    </row>
    <row r="15" customFormat="false" ht="15" hidden="false" customHeight="false" outlineLevel="0" collapsed="false">
      <c r="A15" s="2" t="n">
        <v>14</v>
      </c>
      <c r="B15" s="2" t="s">
        <v>56</v>
      </c>
      <c r="C15" s="2" t="s">
        <v>10</v>
      </c>
      <c r="D15" s="2" t="s">
        <v>57</v>
      </c>
      <c r="E15" s="2" t="s">
        <v>58</v>
      </c>
      <c r="F15" s="2" t="s">
        <v>59</v>
      </c>
      <c r="G15" s="2" t="s">
        <v>14</v>
      </c>
      <c r="H15" s="2" t="s">
        <v>15</v>
      </c>
      <c r="I15" s="2" t="s">
        <v>16</v>
      </c>
    </row>
    <row r="16" customFormat="false" ht="15" hidden="false" customHeight="false" outlineLevel="0" collapsed="false">
      <c r="A16" s="2" t="n">
        <v>15</v>
      </c>
      <c r="B16" s="2" t="s">
        <v>60</v>
      </c>
      <c r="C16" s="2" t="s">
        <v>10</v>
      </c>
      <c r="D16" s="2" t="s">
        <v>57</v>
      </c>
      <c r="E16" s="2" t="s">
        <v>61</v>
      </c>
      <c r="F16" s="2" t="s">
        <v>62</v>
      </c>
      <c r="G16" s="2" t="s">
        <v>14</v>
      </c>
      <c r="H16" s="2" t="s">
        <v>15</v>
      </c>
      <c r="I16" s="2" t="s">
        <v>16</v>
      </c>
    </row>
    <row r="17" customFormat="false" ht="15" hidden="false" customHeight="false" outlineLevel="0" collapsed="false">
      <c r="A17" s="2" t="n">
        <v>16</v>
      </c>
      <c r="B17" s="2" t="s">
        <v>63</v>
      </c>
      <c r="C17" s="2" t="s">
        <v>10</v>
      </c>
      <c r="D17" s="2" t="s">
        <v>57</v>
      </c>
      <c r="E17" s="2" t="s">
        <v>64</v>
      </c>
      <c r="F17" s="2" t="s">
        <v>65</v>
      </c>
      <c r="G17" s="2" t="s">
        <v>14</v>
      </c>
      <c r="H17" s="2" t="s">
        <v>15</v>
      </c>
      <c r="I17" s="2" t="s">
        <v>16</v>
      </c>
    </row>
    <row r="18" customFormat="false" ht="23.85" hidden="false" customHeight="false" outlineLevel="0" collapsed="false">
      <c r="A18" s="3" t="n">
        <v>17</v>
      </c>
      <c r="B18" s="3" t="s">
        <v>66</v>
      </c>
      <c r="C18" s="3" t="s">
        <v>10</v>
      </c>
      <c r="D18" s="3" t="s">
        <v>67</v>
      </c>
      <c r="E18" s="3" t="s">
        <v>68</v>
      </c>
      <c r="F18" s="3" t="s">
        <v>69</v>
      </c>
      <c r="G18" s="3" t="s">
        <v>14</v>
      </c>
      <c r="H18" s="3" t="s">
        <v>42</v>
      </c>
      <c r="I18" s="3" t="s">
        <v>43</v>
      </c>
    </row>
    <row r="19" customFormat="false" ht="15" hidden="false" customHeight="false" outlineLevel="0" collapsed="false">
      <c r="A19" s="3" t="n">
        <v>18</v>
      </c>
      <c r="B19" s="3" t="s">
        <v>70</v>
      </c>
      <c r="C19" s="3" t="s">
        <v>10</v>
      </c>
      <c r="D19" s="3" t="s">
        <v>67</v>
      </c>
      <c r="E19" s="3" t="s">
        <v>71</v>
      </c>
      <c r="F19" s="3" t="s">
        <v>72</v>
      </c>
      <c r="G19" s="3" t="s">
        <v>14</v>
      </c>
      <c r="H19" s="3" t="s">
        <v>42</v>
      </c>
      <c r="I19" s="3" t="s">
        <v>43</v>
      </c>
    </row>
    <row r="20" customFormat="false" ht="35.05" hidden="false" customHeight="false" outlineLevel="0" collapsed="false">
      <c r="A20" s="3" t="n">
        <v>19</v>
      </c>
      <c r="B20" s="3" t="s">
        <v>73</v>
      </c>
      <c r="C20" s="3" t="s">
        <v>10</v>
      </c>
      <c r="D20" s="3" t="s">
        <v>74</v>
      </c>
      <c r="E20" s="3" t="s">
        <v>75</v>
      </c>
      <c r="F20" s="3" t="s">
        <v>76</v>
      </c>
      <c r="G20" s="3" t="s">
        <v>14</v>
      </c>
      <c r="H20" s="3" t="s">
        <v>42</v>
      </c>
      <c r="I20" s="3" t="s">
        <v>43</v>
      </c>
    </row>
    <row r="21" customFormat="false" ht="15" hidden="false" customHeight="false" outlineLevel="0" collapsed="false">
      <c r="A21" s="2" t="n">
        <v>20</v>
      </c>
      <c r="B21" s="2" t="s">
        <v>77</v>
      </c>
      <c r="C21" s="2" t="s">
        <v>10</v>
      </c>
      <c r="D21" s="2" t="s">
        <v>78</v>
      </c>
      <c r="E21" s="2" t="s">
        <v>79</v>
      </c>
      <c r="F21" s="2" t="s">
        <v>80</v>
      </c>
      <c r="G21" s="2" t="s">
        <v>14</v>
      </c>
      <c r="H21" s="2" t="s">
        <v>15</v>
      </c>
      <c r="I21" s="2" t="s">
        <v>16</v>
      </c>
    </row>
    <row r="22" customFormat="false" ht="23.85" hidden="false" customHeight="false" outlineLevel="0" collapsed="false">
      <c r="A22" s="4" t="n">
        <v>21</v>
      </c>
      <c r="B22" s="4" t="s">
        <v>81</v>
      </c>
      <c r="C22" s="4" t="s">
        <v>82</v>
      </c>
      <c r="D22" s="4" t="s">
        <v>83</v>
      </c>
      <c r="E22" s="4" t="s">
        <v>84</v>
      </c>
      <c r="F22" s="4"/>
      <c r="G22" s="4" t="s">
        <v>85</v>
      </c>
      <c r="H22" s="4" t="s">
        <v>86</v>
      </c>
      <c r="I22" s="4" t="s">
        <v>87</v>
      </c>
    </row>
    <row r="23" customFormat="false" ht="23.85" hidden="false" customHeight="false" outlineLevel="0" collapsed="false">
      <c r="A23" s="4" t="n">
        <v>22</v>
      </c>
      <c r="B23" s="4" t="s">
        <v>88</v>
      </c>
      <c r="C23" s="4" t="s">
        <v>82</v>
      </c>
      <c r="D23" s="4" t="s">
        <v>83</v>
      </c>
      <c r="E23" s="4" t="s">
        <v>84</v>
      </c>
      <c r="F23" s="4"/>
      <c r="G23" s="4" t="s">
        <v>85</v>
      </c>
      <c r="H23" s="4" t="s">
        <v>86</v>
      </c>
      <c r="I23" s="4" t="s">
        <v>87</v>
      </c>
    </row>
    <row r="24" customFormat="false" ht="23.85" hidden="false" customHeight="false" outlineLevel="0" collapsed="false">
      <c r="A24" s="4" t="n">
        <v>23</v>
      </c>
      <c r="B24" s="4" t="s">
        <v>89</v>
      </c>
      <c r="C24" s="4" t="s">
        <v>82</v>
      </c>
      <c r="D24" s="4" t="s">
        <v>83</v>
      </c>
      <c r="E24" s="4" t="s">
        <v>84</v>
      </c>
      <c r="F24" s="4"/>
      <c r="G24" s="4" t="s">
        <v>85</v>
      </c>
      <c r="H24" s="4" t="s">
        <v>86</v>
      </c>
      <c r="I24" s="4" t="s">
        <v>87</v>
      </c>
    </row>
    <row r="25" customFormat="false" ht="23.85" hidden="false" customHeight="false" outlineLevel="0" collapsed="false">
      <c r="A25" s="4" t="n">
        <v>24</v>
      </c>
      <c r="B25" s="4" t="s">
        <v>90</v>
      </c>
      <c r="C25" s="4" t="s">
        <v>82</v>
      </c>
      <c r="D25" s="4" t="s">
        <v>83</v>
      </c>
      <c r="E25" s="4" t="s">
        <v>84</v>
      </c>
      <c r="F25" s="4"/>
      <c r="G25" s="4" t="s">
        <v>85</v>
      </c>
      <c r="H25" s="4" t="s">
        <v>86</v>
      </c>
      <c r="I25" s="4" t="s">
        <v>87</v>
      </c>
    </row>
    <row r="26" customFormat="false" ht="23.85" hidden="false" customHeight="false" outlineLevel="0" collapsed="false">
      <c r="A26" s="4" t="n">
        <v>25</v>
      </c>
      <c r="B26" s="4" t="s">
        <v>91</v>
      </c>
      <c r="C26" s="4" t="s">
        <v>82</v>
      </c>
      <c r="D26" s="4" t="s">
        <v>83</v>
      </c>
      <c r="E26" s="4" t="s">
        <v>84</v>
      </c>
      <c r="F26" s="4"/>
      <c r="G26" s="4" t="s">
        <v>85</v>
      </c>
      <c r="H26" s="4" t="s">
        <v>86</v>
      </c>
      <c r="I26" s="4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4"/>
    <col collapsed="false" customWidth="true" hidden="false" outlineLevel="0" max="3" min="3" style="0" width="50"/>
  </cols>
  <sheetData>
    <row r="1" customFormat="false" ht="16.15" hidden="false" customHeight="false" outlineLevel="0" collapsed="false">
      <c r="A1" s="5" t="s">
        <v>92</v>
      </c>
      <c r="B1" s="5"/>
      <c r="C1" s="5"/>
    </row>
    <row r="3" customFormat="false" ht="15" hidden="false" customHeight="false" outlineLevel="0" collapsed="false">
      <c r="A3" s="6" t="s">
        <v>93</v>
      </c>
      <c r="B3" s="7"/>
      <c r="C3" s="7"/>
    </row>
    <row r="4" customFormat="false" ht="15" hidden="false" customHeight="false" outlineLevel="0" collapsed="false">
      <c r="A4" s="8" t="s">
        <v>94</v>
      </c>
      <c r="B4" s="9" t="n">
        <f aca="false">COUNTIFS('Scored Results'!C2:C26,"injected")</f>
        <v>20</v>
      </c>
      <c r="C4" s="7"/>
    </row>
    <row r="5" customFormat="false" ht="15" hidden="false" customHeight="false" outlineLevel="0" collapsed="false">
      <c r="A5" s="8" t="s">
        <v>95</v>
      </c>
      <c r="B5" s="9" t="n">
        <f aca="false">COUNTIF('Scored Results'!I2:I26,"TP - caught")</f>
        <v>15</v>
      </c>
      <c r="C5" s="7"/>
    </row>
    <row r="6" customFormat="false" ht="15" hidden="false" customHeight="false" outlineLevel="0" collapsed="false">
      <c r="A6" s="8" t="s">
        <v>96</v>
      </c>
      <c r="B6" s="9" t="n">
        <f aca="false">COUNTIF('Scored Results'!I2:I26,"FN - MISSED")</f>
        <v>5</v>
      </c>
      <c r="C6" s="7"/>
    </row>
    <row r="7" customFormat="false" ht="15" hidden="false" customHeight="false" outlineLevel="0" collapsed="false">
      <c r="A7" s="8" t="s">
        <v>97</v>
      </c>
      <c r="B7" s="9" t="n">
        <f aca="false">COUNTIF('Scored Results'!C2:C26,"control")</f>
        <v>5</v>
      </c>
      <c r="C7" s="7"/>
    </row>
    <row r="8" customFormat="false" ht="15" hidden="false" customHeight="false" outlineLevel="0" collapsed="false">
      <c r="A8" s="8" t="s">
        <v>98</v>
      </c>
      <c r="B8" s="9" t="n">
        <f aca="false">COUNTIF('Scored Results'!I2:I26,"TN - correct")</f>
        <v>5</v>
      </c>
      <c r="C8" s="7"/>
    </row>
    <row r="9" customFormat="false" ht="15" hidden="false" customHeight="false" outlineLevel="0" collapsed="false">
      <c r="A9" s="6" t="s">
        <v>99</v>
      </c>
      <c r="B9" s="10" t="n">
        <f aca="false">B5/B4</f>
        <v>0.75</v>
      </c>
      <c r="C9" s="7"/>
    </row>
    <row r="10" customFormat="false" ht="15" hidden="false" customHeight="false" outlineLevel="0" collapsed="false">
      <c r="A10" s="8" t="s">
        <v>100</v>
      </c>
      <c r="B10" s="11" t="n">
        <v>0.9375</v>
      </c>
      <c r="C10" s="7"/>
    </row>
    <row r="11" customFormat="false" ht="15" hidden="false" customHeight="false" outlineLevel="0" collapsed="false">
      <c r="A11" s="8" t="s">
        <v>101</v>
      </c>
      <c r="B11" s="11" t="n">
        <v>0</v>
      </c>
      <c r="C11" s="12" t="s">
        <v>102</v>
      </c>
    </row>
    <row r="12" customFormat="false" ht="15" hidden="false" customHeight="false" outlineLevel="0" collapsed="false">
      <c r="A12" s="7"/>
      <c r="B12" s="7"/>
      <c r="C12" s="7"/>
    </row>
    <row r="13" customFormat="false" ht="15" hidden="false" customHeight="false" outlineLevel="0" collapsed="false">
      <c r="A13" s="6" t="s">
        <v>103</v>
      </c>
      <c r="B13" s="7"/>
      <c r="C13" s="7"/>
    </row>
    <row r="14" customFormat="false" ht="15" hidden="false" customHeight="false" outlineLevel="0" collapsed="false">
      <c r="A14" s="13" t="s">
        <v>3</v>
      </c>
      <c r="B14" s="13" t="s">
        <v>104</v>
      </c>
      <c r="C14" s="13" t="s">
        <v>105</v>
      </c>
    </row>
    <row r="15" customFormat="false" ht="15" hidden="false" customHeight="false" outlineLevel="0" collapsed="false">
      <c r="A15" s="8" t="s">
        <v>106</v>
      </c>
      <c r="B15" s="8" t="str">
        <f aca="false">COUNTIFS('Scored Results'!D2:D26,"kaya_dharma_mind",'Scored Results'!I2:I26,"TP - caught") &amp; "/" &amp; COUNTIFS('Scored Results'!D2:D26,"kaya_dharma_mind",'Scored Results'!C2:C26,"injected")</f>
        <v>2/2</v>
      </c>
      <c r="C15" s="14" t="n">
        <f aca="false">IFERROR(COUNTIFS('Scored Results'!D2:D26,"kaya_dharma_mind",'Scored Results'!I2:I26,"TP - caught")/COUNTIFS('Scored Results'!D2:D26,"kaya_dharma_mind",'Scored Results'!C2:C26,"injected"),0)</f>
        <v>1</v>
      </c>
    </row>
    <row r="16" customFormat="false" ht="15" hidden="false" customHeight="false" outlineLevel="0" collapsed="false">
      <c r="A16" s="8" t="s">
        <v>107</v>
      </c>
      <c r="B16" s="8" t="str">
        <f aca="false">COUNTIFS('Scored Results'!D2:D26,"precise_term_softened",'Scored Results'!I2:I26,"TP - caught") &amp; "/" &amp; COUNTIFS('Scored Results'!D2:D26,"precise_term_softened",'Scored Results'!C2:C26,"injected")</f>
        <v>3/3</v>
      </c>
      <c r="C16" s="14" t="n">
        <f aca="false">IFERROR(COUNTIFS('Scored Results'!D2:D26,"precise_term_softened",'Scored Results'!I2:I26,"TP - caught")/COUNTIFS('Scored Results'!D2:D26,"precise_term_softened",'Scored Results'!C2:C26,"injected"),0)</f>
        <v>1</v>
      </c>
    </row>
    <row r="17" customFormat="false" ht="15" hidden="false" customHeight="false" outlineLevel="0" collapsed="false">
      <c r="A17" s="8" t="s">
        <v>108</v>
      </c>
      <c r="B17" s="8" t="str">
        <f aca="false">COUNTIFS('Scored Results'!D2:D26,"named_entity",'Scored Results'!I2:I26,"TP - caught") &amp; "/" &amp; COUNTIFS('Scored Results'!D2:D26,"named_entity",'Scored Results'!C2:C26,"injected")</f>
        <v>3/3</v>
      </c>
      <c r="C17" s="14" t="n">
        <f aca="false">IFERROR(COUNTIFS('Scored Results'!D2:D26,"named_entity",'Scored Results'!I2:I26,"TP - caught")/COUNTIFS('Scored Results'!D2:D26,"named_entity",'Scored Results'!C2:C26,"injected"),0)</f>
        <v>1</v>
      </c>
    </row>
    <row r="18" customFormat="false" ht="15" hidden="false" customHeight="false" outlineLevel="0" collapsed="false">
      <c r="A18" s="8" t="s">
        <v>109</v>
      </c>
      <c r="B18" s="8" t="str">
        <f aca="false">COUNTIFS('Scored Results'!D2:D26,"number_scope",'Scored Results'!I2:I26,"TP - caught") &amp; "/" &amp; COUNTIFS('Scored Results'!D2:D26,"number_scope",'Scored Results'!C2:C26,"injected")</f>
        <v>3/5</v>
      </c>
      <c r="C18" s="14" t="n">
        <f aca="false">IFERROR(COUNTIFS('Scored Results'!D2:D26,"number_scope",'Scored Results'!I2:I26,"TP - caught")/COUNTIFS('Scored Results'!D2:D26,"number_scope",'Scored Results'!C2:C26,"injected"),0)</f>
        <v>0.6</v>
      </c>
    </row>
    <row r="19" customFormat="false" ht="15" hidden="false" customHeight="false" outlineLevel="0" collapsed="false">
      <c r="A19" s="8" t="s">
        <v>110</v>
      </c>
      <c r="B19" s="8" t="str">
        <f aca="false">COUNTIFS('Scored Results'!D2:D26,"simile_tenor",'Scored Results'!I2:I26,"TP - caught") &amp; "/" &amp; COUNTIFS('Scored Results'!D2:D26,"simile_tenor",'Scored Results'!C2:C26,"injected")</f>
        <v>3/3</v>
      </c>
      <c r="C19" s="14" t="n">
        <f aca="false">IFERROR(COUNTIFS('Scored Results'!D2:D26,"simile_tenor",'Scored Results'!I2:I26,"TP - caught")/COUNTIFS('Scored Results'!D2:D26,"simile_tenor",'Scored Results'!C2:C26,"injected"),0)</f>
        <v>1</v>
      </c>
    </row>
    <row r="20" customFormat="false" ht="15" hidden="false" customHeight="false" outlineLevel="0" collapsed="false">
      <c r="A20" s="8" t="s">
        <v>111</v>
      </c>
      <c r="B20" s="8" t="str">
        <f aca="false">COUNTIFS('Scored Results'!D2:D26,"agent_role",'Scored Results'!I2:I26,"TP - caught") &amp; "/" &amp; COUNTIFS('Scored Results'!D2:D26,"agent_role",'Scored Results'!C2:C26,"injected")</f>
        <v>0/2</v>
      </c>
      <c r="C20" s="14" t="n">
        <f aca="false">IFERROR(COUNTIFS('Scored Results'!D2:D26,"agent_role",'Scored Results'!I2:I26,"TP - caught")/COUNTIFS('Scored Results'!D2:D26,"agent_role",'Scored Results'!C2:C26,"injected"),0)</f>
        <v>0</v>
      </c>
    </row>
    <row r="21" customFormat="false" ht="15" hidden="false" customHeight="false" outlineLevel="0" collapsed="false">
      <c r="A21" s="8" t="s">
        <v>112</v>
      </c>
      <c r="B21" s="8" t="str">
        <f aca="false">COUNTIFS('Scored Results'!D2:D26,"enumeration_order",'Scored Results'!I2:I26,"TP - caught") &amp; "/" &amp; COUNTIFS('Scored Results'!D2:D26,"enumeration_order",'Scored Results'!C2:C26,"injected")</f>
        <v>0/1</v>
      </c>
      <c r="C21" s="14" t="n">
        <f aca="false">IFERROR(COUNTIFS('Scored Results'!D2:D26,"enumeration_order",'Scored Results'!I2:I26,"TP - caught")/COUNTIFS('Scored Results'!D2:D26,"enumeration_order",'Scored Results'!C2:C26,"injected"),0)</f>
        <v>0</v>
      </c>
    </row>
    <row r="22" customFormat="false" ht="15" hidden="false" customHeight="false" outlineLevel="0" collapsed="false">
      <c r="A22" s="8" t="s">
        <v>113</v>
      </c>
      <c r="B22" s="8" t="str">
        <f aca="false">COUNTIFS('Scored Results'!D2:D26,"wrong_referent_other",'Scored Results'!I2:I26,"TP - caught") &amp; "/" &amp; COUNTIFS('Scored Results'!D2:D26,"wrong_referent_other",'Scored Results'!C2:C26,"injected")</f>
        <v>1/1</v>
      </c>
      <c r="C22" s="14" t="n">
        <f aca="false">IFERROR(COUNTIFS('Scored Results'!D2:D26,"wrong_referent_other",'Scored Results'!I2:I26,"TP - caught")/COUNTIFS('Scored Results'!D2:D26,"wrong_referent_other",'Scored Results'!C2:C26,"injected"),0)</f>
        <v>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2026-08-10T12:03:36Z</dcterms:created>
  <dc:creator>openpyxl</dc:creator>
  <dc:description/>
  <dc:language>en-US</dc:language>
  <cp:lastModifiedBy/>
  <dcterms:modified xsi:type="dcterms:W3CDTF">2026-08-10T12:03:36Z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